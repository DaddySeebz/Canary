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Salesforce Revenue Schedule data prepared for Canary upload and workbook review.</t>
      </text>
    </comment>
    <comment ref="E1" authorId="0" shapeId="0">
      <text>
        <t>Monthly recognition amount sourced from Salesforce revenue schedules.</t>
      </text>
    </comment>
    <comment ref="H1" authorId="0" shapeId="0">
      <text>
        <t>Plain-text source URL for each Salesforce record.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7" customWidth="1" min="4" max="4"/>
    <col width="26" customWidth="1" min="5" max="5"/>
    <col width="24" customWidth="1" min="6" max="6"/>
    <col width="19" customWidth="1" min="7" max="7"/>
    <col width="34" customWidth="1" min="8" max="8"/>
  </cols>
  <sheetData>
    <row r="1">
      <c r="A1" s="1" t="inlineStr">
        <is>
          <t>schedule_id</t>
        </is>
      </c>
      <c r="B1" s="1" t="inlineStr">
        <is>
          <t>booking_id</t>
        </is>
      </c>
      <c r="C1" s="1" t="inlineStr">
        <is>
          <t>opportunity_id</t>
        </is>
      </c>
      <c r="D1" s="1" t="inlineStr">
        <is>
          <t>revenue_month</t>
        </is>
      </c>
      <c r="E1" s="1" t="inlineStr">
        <is>
          <t>recognized_revenue_usd</t>
        </is>
      </c>
      <c r="F1" s="1" t="inlineStr">
        <is>
          <t>deferred_revenue_usd</t>
        </is>
      </c>
      <c r="G1" s="1" t="inlineStr">
        <is>
          <t>schedule_status</t>
        </is>
      </c>
      <c r="H1" s="1" t="inlineStr">
        <is>
          <t>source_url</t>
        </is>
      </c>
    </row>
    <row r="2">
      <c r="A2" t="inlineStr">
        <is>
          <t>SCH-7001</t>
        </is>
      </c>
      <c r="B2" t="inlineStr">
        <is>
          <t>BKG-5001</t>
        </is>
      </c>
      <c r="C2" t="inlineStr">
        <is>
          <t>OPP-1001</t>
        </is>
      </c>
      <c r="D2" s="2" t="n">
        <v>46054</v>
      </c>
      <c r="E2" s="3" t="n">
        <v>10000</v>
      </c>
      <c r="F2" s="3" t="n">
        <v>110000</v>
      </c>
      <c r="G2" t="inlineStr">
        <is>
          <t>Scheduled</t>
        </is>
      </c>
      <c r="H2" t="inlineStr">
        <is>
          <t>https://canary-demo.my.salesforce.com/lightning/r/RevenueSchedule/SCH-7001/view</t>
        </is>
      </c>
    </row>
    <row r="3">
      <c r="A3" t="inlineStr">
        <is>
          <t>SCH-7002</t>
        </is>
      </c>
      <c r="B3" t="inlineStr">
        <is>
          <t>BKG-5001</t>
        </is>
      </c>
      <c r="C3" t="inlineStr">
        <is>
          <t>OPP-1001</t>
        </is>
      </c>
      <c r="D3" s="2" t="n">
        <v>46082</v>
      </c>
      <c r="E3" s="3" t="n">
        <v>10000</v>
      </c>
      <c r="F3" s="3" t="n">
        <v>100000</v>
      </c>
      <c r="G3" t="inlineStr">
        <is>
          <t>Scheduled</t>
        </is>
      </c>
      <c r="H3" t="inlineStr">
        <is>
          <t>https://canary-demo.my.salesforce.com/lightning/r/RevenueSchedule/SCH-7002/view</t>
        </is>
      </c>
    </row>
    <row r="4">
      <c r="A4" t="inlineStr">
        <is>
          <t>SCH-7003</t>
        </is>
      </c>
      <c r="B4" t="inlineStr">
        <is>
          <t>BKG-5002</t>
        </is>
      </c>
      <c r="C4" t="inlineStr">
        <is>
          <t>OPP-1002</t>
        </is>
      </c>
      <c r="D4" s="2" t="n">
        <v>46082</v>
      </c>
      <c r="E4" s="3" t="n">
        <v>7041.67</v>
      </c>
      <c r="F4" s="3" t="n">
        <v>77458.33</v>
      </c>
      <c r="G4" t="inlineStr">
        <is>
          <t>Scheduled</t>
        </is>
      </c>
      <c r="H4" t="inlineStr">
        <is>
          <t>https://canary-demo.my.salesforce.com/lightning/r/RevenueSchedule/SCH-7003/view</t>
        </is>
      </c>
    </row>
    <row r="5">
      <c r="A5" t="inlineStr">
        <is>
          <t>SCH-7004</t>
        </is>
      </c>
      <c r="B5" t="inlineStr">
        <is>
          <t>BKG-5003</t>
        </is>
      </c>
      <c r="C5" t="inlineStr">
        <is>
          <t>OPP-1003</t>
        </is>
      </c>
      <c r="D5" s="2" t="n">
        <v>46082</v>
      </c>
      <c r="E5" s="3" t="n">
        <v>7666.67</v>
      </c>
      <c r="F5" s="3" t="n">
        <v>84333.33</v>
      </c>
      <c r="G5" t="inlineStr">
        <is>
          <t>Scheduled</t>
        </is>
      </c>
      <c r="H5" t="inlineStr">
        <is>
          <t>https://canary-demo.my.salesforce.com/lightning/r/RevenueSchedule/SCH-7004/view</t>
        </is>
      </c>
    </row>
    <row r="6">
      <c r="A6" t="inlineStr">
        <is>
          <t>SCH-7005</t>
        </is>
      </c>
      <c r="B6" t="inlineStr">
        <is>
          <t>BKG-5004</t>
        </is>
      </c>
      <c r="C6" t="inlineStr">
        <is>
          <t>OPP-1004</t>
        </is>
      </c>
      <c r="D6" s="2" t="n">
        <v>46082</v>
      </c>
      <c r="E6" s="3" t="n">
        <v>4166.67</v>
      </c>
      <c r="F6" s="3" t="n">
        <v>45833.33</v>
      </c>
      <c r="G6" t="inlineStr">
        <is>
          <t>Scheduled</t>
        </is>
      </c>
      <c r="H6" t="inlineStr">
        <is>
          <t>https://canary-demo.my.salesforce.com/lightning/r/RevenueSchedule/SCH-7005/view</t>
        </is>
      </c>
    </row>
    <row r="7">
      <c r="A7" t="inlineStr">
        <is>
          <t>SCH-7006</t>
        </is>
      </c>
      <c r="B7" t="inlineStr">
        <is>
          <t>BKG-5005</t>
        </is>
      </c>
      <c r="C7" t="inlineStr">
        <is>
          <t>OPP-1005</t>
        </is>
      </c>
      <c r="D7" s="2" t="n">
        <v>46113</v>
      </c>
      <c r="E7" s="3" t="n">
        <v>2666.67</v>
      </c>
      <c r="F7" s="3" t="n">
        <v>61333.33</v>
      </c>
      <c r="G7" t="inlineStr">
        <is>
          <t>Scheduled</t>
        </is>
      </c>
      <c r="H7" t="inlineStr">
        <is>
          <t>https://canary-demo.my.salesforce.com/lightning/r/RevenueSchedule/SCH-7006/view</t>
        </is>
      </c>
    </row>
    <row r="8">
      <c r="A8" t="inlineStr">
        <is>
          <t>SCH-7007</t>
        </is>
      </c>
      <c r="B8" t="inlineStr">
        <is>
          <t>BKG-5999</t>
        </is>
      </c>
      <c r="C8" t="inlineStr">
        <is>
          <t>OPP-1999</t>
        </is>
      </c>
      <c r="D8" s="2" t="n">
        <v>46113</v>
      </c>
      <c r="E8" s="3" t="n">
        <v>2500</v>
      </c>
      <c r="F8" s="3" t="n">
        <v>12500</v>
      </c>
      <c r="G8" t="inlineStr">
        <is>
          <t>Scheduled</t>
        </is>
      </c>
      <c r="H8" t="inlineStr">
        <is>
          <t>https://canary-demo.my.salesforce.com/lightning/r/RevenueSchedule/SCH-7007/view</t>
        </is>
      </c>
    </row>
    <row r="9">
      <c r="A9" t="inlineStr">
        <is>
          <t>SCH-7008</t>
        </is>
      </c>
      <c r="B9" t="inlineStr"/>
      <c r="C9" t="inlineStr">
        <is>
          <t>OPP-1008</t>
        </is>
      </c>
      <c r="D9" s="2" t="n">
        <v>46113</v>
      </c>
      <c r="E9" s="3" t="n">
        <v>3583.33</v>
      </c>
      <c r="F9" s="3" t="n">
        <v>39416.67</v>
      </c>
      <c r="G9" t="inlineStr">
        <is>
          <t>Draft</t>
        </is>
      </c>
      <c r="H9" t="inlineStr">
        <is>
          <t>https://canary-demo.my.salesforce.com/lightning/r/RevenueSchedule/SCH-7008/view</t>
        </is>
      </c>
    </row>
    <row r="10">
      <c r="A10" t="inlineStr">
        <is>
          <t>SCH-7009</t>
        </is>
      </c>
      <c r="B10" t="inlineStr">
        <is>
          <t>BKG-5008</t>
        </is>
      </c>
      <c r="C10" t="inlineStr">
        <is>
          <t>OPP-1010</t>
        </is>
      </c>
      <c r="D10" s="2" t="n">
        <v>46143</v>
      </c>
      <c r="E10" s="3" t="n">
        <v>-6333.33</v>
      </c>
      <c r="F10" s="3" t="n">
        <v>82333.33</v>
      </c>
      <c r="G10" t="inlineStr">
        <is>
          <t>Scheduled</t>
        </is>
      </c>
      <c r="H10" t="inlineStr">
        <is>
          <t>https://canary-demo.my.salesforce.com/lightning/r/RevenueSchedule/SCH-7009/view</t>
        </is>
      </c>
    </row>
    <row r="11">
      <c r="A11" t="inlineStr">
        <is>
          <t>SCH-7010</t>
        </is>
      </c>
      <c r="B11" t="inlineStr">
        <is>
          <t>BKG-5009</t>
        </is>
      </c>
      <c r="C11" t="inlineStr">
        <is>
          <t>OPP-1009</t>
        </is>
      </c>
      <c r="D11" s="2" t="n">
        <v>46113</v>
      </c>
      <c r="E11" s="3" t="n">
        <v>3166.67</v>
      </c>
      <c r="F11" s="3" t="n">
        <v>34833.33</v>
      </c>
      <c r="G11" t="inlineStr">
        <is>
          <t>Scheduled</t>
        </is>
      </c>
      <c r="H11" t="inlineStr">
        <is>
          <t>https://canary-demo.my.salesforce.com/lightning/r/RevenueSchedule/SCH-7010/view</t>
        </is>
      </c>
    </row>
    <row r="12">
      <c r="A12" t="inlineStr">
        <is>
          <t>SCH-7011</t>
        </is>
      </c>
      <c r="B12" t="inlineStr">
        <is>
          <t>BKG-5007</t>
        </is>
      </c>
      <c r="C12" t="inlineStr">
        <is>
          <t>OPP-1008</t>
        </is>
      </c>
      <c r="D12" s="2" t="n">
        <v>46113</v>
      </c>
      <c r="E12" s="3" t="n">
        <v>3583.33</v>
      </c>
      <c r="F12" s="3" t="n">
        <v>39416.67</v>
      </c>
      <c r="G12" t="inlineStr">
        <is>
          <t>Scheduled</t>
        </is>
      </c>
      <c r="H12" t="inlineStr">
        <is>
          <t>https://canary-demo.my.salesforce.com/lightning/r/RevenueSchedule/SCH-7011/view</t>
        </is>
      </c>
    </row>
    <row r="13">
      <c r="A13" t="inlineStr">
        <is>
          <t>SCH-7012</t>
        </is>
      </c>
      <c r="B13" t="inlineStr">
        <is>
          <t>BKG-5002</t>
        </is>
      </c>
      <c r="C13" t="inlineStr">
        <is>
          <t>OPP-1002</t>
        </is>
      </c>
      <c r="D13" s="2" t="n">
        <v>46113</v>
      </c>
      <c r="E13" s="3" t="n">
        <v>7041.67</v>
      </c>
      <c r="F13" s="3" t="n">
        <v>70416.66</v>
      </c>
      <c r="G13" t="inlineStr">
        <is>
          <t>Scheduled</t>
        </is>
      </c>
      <c r="H13" t="inlineStr">
        <is>
          <t>https://canary-demo.my.salesforce.com/lightning/r/RevenueSchedule/SCH-7012/view</t>
        </is>
      </c>
    </row>
  </sheetData>
  <autoFilter ref="A1:H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4" t="inlineStr">
        <is>
          <t>Salesforce Revenue Schedule</t>
        </is>
      </c>
    </row>
    <row r="3">
      <c r="A3" s="5" t="inlineStr">
        <is>
          <t>Metric</t>
        </is>
      </c>
      <c r="B3" s="5" t="inlineStr">
        <is>
          <t>Formula</t>
        </is>
      </c>
    </row>
    <row r="4">
      <c r="A4" t="inlineStr">
        <is>
          <t>Total rows</t>
        </is>
      </c>
      <c r="B4" s="6">
        <f>COUNTA(Data!A:A)-1</f>
        <v/>
      </c>
    </row>
    <row r="5">
      <c r="A5" t="inlineStr">
        <is>
          <t>Total recognized revenue</t>
        </is>
      </c>
      <c r="B5" s="6">
        <f>SUM(Data!E2:E13)</f>
        <v/>
      </c>
    </row>
    <row r="6">
      <c r="A6" t="inlineStr">
        <is>
          <t>Rows missing booking ID</t>
        </is>
      </c>
      <c r="B6" s="6">
        <f>COUNTBLANK(Data!B2:B13)</f>
        <v/>
      </c>
    </row>
    <row r="7">
      <c r="A7" t="inlineStr">
        <is>
          <t>Negative recognized revenue</t>
        </is>
      </c>
      <c r="B7" s="6">
        <f>COUNTIF(Data!E2:E13,"&lt;0")</f>
        <v/>
      </c>
    </row>
    <row r="8">
      <c r="A8" t="inlineStr">
        <is>
          <t>Draft schedule count</t>
        </is>
      </c>
      <c r="B8" s="6">
        <f>COUNTIF(Data!G2:G13,"Draft")</f>
        <v/>
      </c>
    </row>
    <row r="11">
      <c r="A11" s="7" t="inlineStr">
        <is>
          <t>Review notes</t>
        </is>
      </c>
    </row>
    <row r="12">
      <c r="A12" t="inlineStr">
        <is>
          <t>Open the workbook in Excel to recalculate formulas and inspect highlighted scenario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Salesforce Revenue Schedule</dc:title>
  <dc:subject>Salesforce revenue validation sample pack</dc:subject>
  <dcterms:created xsi:type="dcterms:W3CDTF">2026-04-17T03:27:49Z</dcterms:created>
  <dcterms:modified xsi:type="dcterms:W3CDTF">2026-04-17T03:27:49Z</dcterms:modified>
</cp:coreProperties>
</file>