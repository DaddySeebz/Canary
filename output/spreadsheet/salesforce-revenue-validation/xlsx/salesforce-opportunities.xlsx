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'Data'!$A$1:$N$11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;[Red]($#,##0.00);-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Salesforce Opportunities data prepared for Canary upload and workbook review.</t>
      </text>
    </comment>
    <comment ref="G1" authorId="0" shapeId="0">
      <text>
        <t>Revenue input sourced from Salesforce opportunity export.</t>
      </text>
    </comment>
    <comment ref="N1" authorId="0" shapeId="0">
      <text>
        <t>Plain-text source URL for each Salesforce record.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1" customWidth="1" min="3" max="3"/>
    <col width="14" customWidth="1" min="4" max="4"/>
    <col width="14" customWidth="1" min="5" max="5"/>
    <col width="21" customWidth="1" min="6" max="6"/>
    <col width="14" customWidth="1" min="7" max="7"/>
    <col width="21" customWidth="1" min="8" max="8"/>
    <col width="23" customWidth="1" min="9" max="9"/>
    <col width="21" customWidth="1" min="10" max="10"/>
    <col width="20" customWidth="1" min="11" max="11"/>
    <col width="14" customWidth="1" min="12" max="12"/>
    <col width="22" customWidth="1" min="13" max="13"/>
    <col width="34" customWidth="1" min="14" max="14"/>
  </cols>
  <sheetData>
    <row r="1">
      <c r="A1" s="1" t="inlineStr">
        <is>
          <t>opportunity_id</t>
        </is>
      </c>
      <c r="B1" s="1" t="inlineStr">
        <is>
          <t>account_id</t>
        </is>
      </c>
      <c r="C1" s="1" t="inlineStr">
        <is>
          <t>account_name</t>
        </is>
      </c>
      <c r="D1" s="1" t="inlineStr">
        <is>
          <t>close_date</t>
        </is>
      </c>
      <c r="E1" s="1" t="inlineStr">
        <is>
          <t>stage_name</t>
        </is>
      </c>
      <c r="F1" s="1" t="inlineStr">
        <is>
          <t>forecast_category</t>
        </is>
      </c>
      <c r="G1" s="1" t="inlineStr">
        <is>
          <t>amount_usd</t>
        </is>
      </c>
      <c r="H1" s="1" t="inlineStr">
        <is>
          <t>currency_iso_code</t>
        </is>
      </c>
      <c r="I1" s="1" t="inlineStr">
        <is>
          <t>contract_start_date</t>
        </is>
      </c>
      <c r="J1" s="1" t="inlineStr">
        <is>
          <t>contract_end_date</t>
        </is>
      </c>
      <c r="K1" s="1" t="inlineStr">
        <is>
          <t>primary_quote_id</t>
        </is>
      </c>
      <c r="L1" s="1" t="inlineStr">
        <is>
          <t>owner_name</t>
        </is>
      </c>
      <c r="M1" s="1" t="inlineStr">
        <is>
          <t>last_modified_date</t>
        </is>
      </c>
      <c r="N1" s="1" t="inlineStr">
        <is>
          <t>source_url</t>
        </is>
      </c>
    </row>
    <row r="2">
      <c r="A2" t="inlineStr">
        <is>
          <t>OPP-1001</t>
        </is>
      </c>
      <c r="B2" t="inlineStr">
        <is>
          <t>ACC-2001</t>
        </is>
      </c>
      <c r="C2" t="inlineStr">
        <is>
          <t>Northwind Health</t>
        </is>
      </c>
      <c r="D2" s="2" t="n">
        <v>46037</v>
      </c>
      <c r="E2" t="inlineStr">
        <is>
          <t>Closed Won</t>
        </is>
      </c>
      <c r="F2" t="inlineStr">
        <is>
          <t>Commit</t>
        </is>
      </c>
      <c r="G2" s="3" t="n">
        <v>120000</v>
      </c>
      <c r="H2" t="inlineStr">
        <is>
          <t>USD</t>
        </is>
      </c>
      <c r="I2" s="2" t="n">
        <v>46054</v>
      </c>
      <c r="J2" s="2" t="n">
        <v>46418</v>
      </c>
      <c r="K2" t="inlineStr">
        <is>
          <t>Q-3001</t>
        </is>
      </c>
      <c r="L2" t="inlineStr">
        <is>
          <t>Avery Chen</t>
        </is>
      </c>
      <c r="M2" s="2" t="n">
        <v>46038</v>
      </c>
      <c r="N2" t="inlineStr">
        <is>
          <t>https://canary-demo.my.salesforce.com/lightning/r/Opportunity/OPP-1001/view</t>
        </is>
      </c>
    </row>
    <row r="3">
      <c r="A3" t="inlineStr">
        <is>
          <t>OPP-1002</t>
        </is>
      </c>
      <c r="B3" t="inlineStr">
        <is>
          <t>ACC-2002</t>
        </is>
      </c>
      <c r="C3" t="inlineStr">
        <is>
          <t>Bluebird Logistics</t>
        </is>
      </c>
      <c r="D3" s="2" t="n">
        <v>46062</v>
      </c>
      <c r="E3" t="inlineStr">
        <is>
          <t>Closed Won</t>
        </is>
      </c>
      <c r="F3" t="inlineStr">
        <is>
          <t>Commit</t>
        </is>
      </c>
      <c r="G3" s="3" t="n">
        <v>85000</v>
      </c>
      <c r="H3" t="inlineStr">
        <is>
          <t>USD</t>
        </is>
      </c>
      <c r="I3" s="2" t="n">
        <v>46082</v>
      </c>
      <c r="J3" s="2" t="n">
        <v>46446</v>
      </c>
      <c r="K3" t="inlineStr">
        <is>
          <t>Q-3002</t>
        </is>
      </c>
      <c r="L3" t="inlineStr">
        <is>
          <t>Priya Raman</t>
        </is>
      </c>
      <c r="M3" s="2" t="n">
        <v>46063</v>
      </c>
      <c r="N3" t="inlineStr">
        <is>
          <t>https://canary-demo.my.salesforce.com/lightning/r/Opportunity/OPP-1002/view</t>
        </is>
      </c>
    </row>
    <row r="4">
      <c r="A4" t="inlineStr">
        <is>
          <t>OPP-1003</t>
        </is>
      </c>
      <c r="B4" t="inlineStr">
        <is>
          <t>ACC-2003</t>
        </is>
      </c>
      <c r="C4" t="inlineStr">
        <is>
          <t>Delta Retail Group</t>
        </is>
      </c>
      <c r="D4" s="2" t="n">
        <v>46070</v>
      </c>
      <c r="E4" t="inlineStr">
        <is>
          <t>Closed Won</t>
        </is>
      </c>
      <c r="F4" t="inlineStr">
        <is>
          <t>Commit</t>
        </is>
      </c>
      <c r="G4" t="inlineStr"/>
      <c r="H4" t="inlineStr">
        <is>
          <t>USD</t>
        </is>
      </c>
      <c r="I4" s="2" t="n">
        <v>46082</v>
      </c>
      <c r="J4" s="2" t="n">
        <v>46446</v>
      </c>
      <c r="K4" t="inlineStr">
        <is>
          <t>Q-3003</t>
        </is>
      </c>
      <c r="L4" t="inlineStr">
        <is>
          <t>Jonas Hale</t>
        </is>
      </c>
      <c r="M4" s="2" t="n">
        <v>46071</v>
      </c>
      <c r="N4" t="inlineStr">
        <is>
          <t>https://canary-demo.my.salesforce.com/lightning/r/Opportunity/OPP-1003/view</t>
        </is>
      </c>
    </row>
    <row r="5">
      <c r="A5" t="inlineStr">
        <is>
          <t>OPP-1004</t>
        </is>
      </c>
      <c r="B5" t="inlineStr">
        <is>
          <t>ACC-2004</t>
        </is>
      </c>
      <c r="C5" t="inlineStr">
        <is>
          <t>Evergreen Media</t>
        </is>
      </c>
      <c r="D5" s="2" t="n">
        <v>46083</v>
      </c>
      <c r="E5" t="inlineStr">
        <is>
          <t>Closed Won</t>
        </is>
      </c>
      <c r="F5" t="inlineStr">
        <is>
          <t>Best Case</t>
        </is>
      </c>
      <c r="G5" s="3" t="n">
        <v>50000</v>
      </c>
      <c r="H5" t="inlineStr">
        <is>
          <t>USD</t>
        </is>
      </c>
      <c r="I5" s="2" t="n">
        <v>46096</v>
      </c>
      <c r="J5" s="2" t="n">
        <v>46068</v>
      </c>
      <c r="K5" t="inlineStr">
        <is>
          <t>Q-3004</t>
        </is>
      </c>
      <c r="L5" t="inlineStr">
        <is>
          <t>Marta Silva</t>
        </is>
      </c>
      <c r="M5" s="2" t="n">
        <v>46084</v>
      </c>
      <c r="N5" t="inlineStr">
        <is>
          <t>https://canary-demo.my.salesforce.com/lightning/r/Opportunity/OPP-1004/view</t>
        </is>
      </c>
    </row>
    <row r="6">
      <c r="A6" t="inlineStr">
        <is>
          <t>OPP-1005</t>
        </is>
      </c>
      <c r="B6" t="inlineStr">
        <is>
          <t>ACC-2005</t>
        </is>
      </c>
      <c r="C6" t="inlineStr">
        <is>
          <t>Granite Utilities</t>
        </is>
      </c>
      <c r="D6" s="2" t="n">
        <v>46095</v>
      </c>
      <c r="E6" t="inlineStr">
        <is>
          <t>Closed Won</t>
        </is>
      </c>
      <c r="F6" t="inlineStr">
        <is>
          <t>Commit</t>
        </is>
      </c>
      <c r="G6" s="3" t="n">
        <v>64000</v>
      </c>
      <c r="H6" t="inlineStr">
        <is>
          <t>USD</t>
        </is>
      </c>
      <c r="I6" s="2" t="n">
        <v>46113</v>
      </c>
      <c r="J6" s="2" t="n">
        <v>46843</v>
      </c>
      <c r="K6" t="inlineStr">
        <is>
          <t>Q-3005</t>
        </is>
      </c>
      <c r="L6" t="inlineStr">
        <is>
          <t>Renee Walker</t>
        </is>
      </c>
      <c r="M6" s="2" t="n">
        <v>46096</v>
      </c>
      <c r="N6" t="inlineStr">
        <is>
          <t>https://canary-demo.my.salesforce.com/lightning/r/Opportunity/OPP-1005/view</t>
        </is>
      </c>
    </row>
    <row r="7">
      <c r="A7" t="inlineStr">
        <is>
          <t>OPP-1006</t>
        </is>
      </c>
      <c r="B7" t="inlineStr">
        <is>
          <t>ACC-2006</t>
        </is>
      </c>
      <c r="C7" t="inlineStr">
        <is>
          <t>Harbor Foods</t>
        </is>
      </c>
      <c r="D7" s="2" t="n">
        <v>46097</v>
      </c>
      <c r="E7" t="inlineStr">
        <is>
          <t>Commit</t>
        </is>
      </c>
      <c r="F7" t="inlineStr">
        <is>
          <t>Commit</t>
        </is>
      </c>
      <c r="G7" s="3" t="n">
        <v>45000</v>
      </c>
      <c r="H7" t="inlineStr">
        <is>
          <t>USD</t>
        </is>
      </c>
      <c r="I7" s="2" t="n">
        <v>46113</v>
      </c>
      <c r="J7" s="2" t="n">
        <v>46477</v>
      </c>
      <c r="K7" t="inlineStr">
        <is>
          <t>Q-3006</t>
        </is>
      </c>
      <c r="L7" t="inlineStr">
        <is>
          <t>Avery Chen</t>
        </is>
      </c>
      <c r="M7" s="2" t="n">
        <v>46098</v>
      </c>
      <c r="N7" t="inlineStr">
        <is>
          <t>https://canary-demo.my.salesforce.com/lightning/r/Opportunity/OPP-1006/view</t>
        </is>
      </c>
    </row>
    <row r="8">
      <c r="A8" t="inlineStr">
        <is>
          <t>OPP-1007</t>
        </is>
      </c>
      <c r="B8" t="inlineStr">
        <is>
          <t>ACC-2007</t>
        </is>
      </c>
      <c r="C8" t="inlineStr">
        <is>
          <t>Ivory Manufacturing</t>
        </is>
      </c>
      <c r="D8" s="2" t="n">
        <v>46100</v>
      </c>
      <c r="E8" t="inlineStr">
        <is>
          <t>Renewal Hold</t>
        </is>
      </c>
      <c r="F8" t="inlineStr">
        <is>
          <t>Pipeline</t>
        </is>
      </c>
      <c r="G8" s="3" t="n">
        <v>22000</v>
      </c>
      <c r="H8" t="inlineStr">
        <is>
          <t>USD</t>
        </is>
      </c>
      <c r="I8" s="2" t="n">
        <v>46127</v>
      </c>
      <c r="J8" s="2" t="n">
        <v>46491</v>
      </c>
      <c r="K8" t="inlineStr">
        <is>
          <t>Q-3007</t>
        </is>
      </c>
      <c r="L8" t="inlineStr">
        <is>
          <t>Priya Raman</t>
        </is>
      </c>
      <c r="M8" s="2" t="n">
        <v>46101</v>
      </c>
      <c r="N8" t="inlineStr">
        <is>
          <t>https://canary-demo.my.salesforce.com/lightning/r/Opportunity/OPP-1007/view</t>
        </is>
      </c>
    </row>
    <row r="9">
      <c r="A9" t="inlineStr">
        <is>
          <t>OPP-1008</t>
        </is>
      </c>
      <c r="B9" t="inlineStr">
        <is>
          <t>ACC-2008</t>
        </is>
      </c>
      <c r="C9" t="inlineStr">
        <is>
          <t>Juniper Bio</t>
        </is>
      </c>
      <c r="D9" s="2" t="n">
        <v>46101</v>
      </c>
      <c r="E9" t="inlineStr">
        <is>
          <t>Closed Won</t>
        </is>
      </c>
      <c r="F9" t="inlineStr">
        <is>
          <t>Commit</t>
        </is>
      </c>
      <c r="G9" s="3" t="n">
        <v>43000</v>
      </c>
      <c r="H9" t="inlineStr">
        <is>
          <t>USD</t>
        </is>
      </c>
      <c r="I9" s="2" t="n">
        <v>46113</v>
      </c>
      <c r="J9" s="2" t="n">
        <v>46477</v>
      </c>
      <c r="K9" t="inlineStr">
        <is>
          <t>Q-3008</t>
        </is>
      </c>
      <c r="L9" t="inlineStr">
        <is>
          <t>Jonas Hale</t>
        </is>
      </c>
      <c r="M9" s="2" t="n">
        <v>46102</v>
      </c>
      <c r="N9" t="inlineStr">
        <is>
          <t>https://canary-demo.my.salesforce.com/lightning/r/Opportunity/OPP-1008/view</t>
        </is>
      </c>
    </row>
    <row r="10">
      <c r="A10" t="inlineStr">
        <is>
          <t>OPP-1008</t>
        </is>
      </c>
      <c r="B10" t="inlineStr">
        <is>
          <t>ACC-2008</t>
        </is>
      </c>
      <c r="C10" t="inlineStr">
        <is>
          <t>Juniper Bio</t>
        </is>
      </c>
      <c r="D10" s="2" t="n">
        <v>46101</v>
      </c>
      <c r="E10" t="inlineStr">
        <is>
          <t>Closed Won</t>
        </is>
      </c>
      <c r="F10" t="inlineStr">
        <is>
          <t>Commit</t>
        </is>
      </c>
      <c r="G10" s="3" t="n">
        <v>43000</v>
      </c>
      <c r="H10" t="inlineStr">
        <is>
          <t>USD</t>
        </is>
      </c>
      <c r="I10" s="2" t="n">
        <v>46113</v>
      </c>
      <c r="J10" s="2" t="n">
        <v>46477</v>
      </c>
      <c r="K10" t="inlineStr">
        <is>
          <t>Q-3008-A</t>
        </is>
      </c>
      <c r="L10" t="inlineStr">
        <is>
          <t>Jonas Hale</t>
        </is>
      </c>
      <c r="M10" s="2" t="n">
        <v>46102</v>
      </c>
      <c r="N10" t="inlineStr">
        <is>
          <t>https://canary-demo.my.salesforce.com/lightning/r/Opportunity/OPP-1008/view</t>
        </is>
      </c>
    </row>
    <row r="11">
      <c r="A11" t="inlineStr">
        <is>
          <t>OPP-1010</t>
        </is>
      </c>
      <c r="B11" t="inlineStr">
        <is>
          <t>ACC-2010</t>
        </is>
      </c>
      <c r="C11" t="inlineStr">
        <is>
          <t>Keystone Services</t>
        </is>
      </c>
      <c r="D11" s="2" t="n">
        <v>46106</v>
      </c>
      <c r="E11" t="inlineStr">
        <is>
          <t>Closed Won</t>
        </is>
      </c>
      <c r="F11" t="inlineStr">
        <is>
          <t>Commit</t>
        </is>
      </c>
      <c r="G11" s="3" t="n">
        <v>76000</v>
      </c>
      <c r="H11" t="inlineStr">
        <is>
          <t>USD</t>
        </is>
      </c>
      <c r="I11" s="2" t="n">
        <v>46143</v>
      </c>
      <c r="J11" s="2" t="n">
        <v>46507</v>
      </c>
      <c r="K11" t="inlineStr">
        <is>
          <t>Q-3010</t>
        </is>
      </c>
      <c r="L11" t="inlineStr">
        <is>
          <t>Marta Silva</t>
        </is>
      </c>
      <c r="M11" s="2" t="n">
        <v>46107</v>
      </c>
      <c r="N11" t="inlineStr">
        <is>
          <t>https://canary-demo.my.salesforce.com/lightning/r/Opportunity/OPP-1010/view</t>
        </is>
      </c>
    </row>
  </sheetData>
  <autoFilter ref="A1:N1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>
      <c r="A1" s="4" t="inlineStr">
        <is>
          <t>Salesforce Opportunities</t>
        </is>
      </c>
    </row>
    <row r="3">
      <c r="A3" s="5" t="inlineStr">
        <is>
          <t>Metric</t>
        </is>
      </c>
      <c r="B3" s="5" t="inlineStr">
        <is>
          <t>Formula</t>
        </is>
      </c>
    </row>
    <row r="4">
      <c r="A4" t="inlineStr">
        <is>
          <t>Total rows</t>
        </is>
      </c>
      <c r="B4" s="6">
        <f>COUNTA(Data!A:A)-1</f>
        <v/>
      </c>
    </row>
    <row r="5">
      <c r="A5" t="inlineStr">
        <is>
          <t>Total opportunity amount</t>
        </is>
      </c>
      <c r="B5" s="6">
        <f>SUM(Data!G2:G11)</f>
        <v/>
      </c>
    </row>
    <row r="6">
      <c r="A6" t="inlineStr">
        <is>
          <t>Missing amounts</t>
        </is>
      </c>
      <c r="B6" s="6">
        <f>COUNTBLANK(Data!G2:G11)</f>
        <v/>
      </c>
    </row>
    <row r="7">
      <c r="A7" t="inlineStr">
        <is>
          <t>Duplicate opportunity IDs</t>
        </is>
      </c>
      <c r="B7" s="6">
        <f>SUMPRODUCT(--(COUNTIF(Data!A2:A11,Data!A2:A11)&gt;1))</f>
        <v/>
      </c>
    </row>
    <row r="8">
      <c r="A8" t="inlineStr">
        <is>
          <t>Contract end before start</t>
        </is>
      </c>
      <c r="B8" s="6">
        <f>SUMPRODUCT(--(Data!J2:J11&lt;Data!I2:I11))</f>
        <v/>
      </c>
    </row>
    <row r="11">
      <c r="A11" s="7" t="inlineStr">
        <is>
          <t>Review notes</t>
        </is>
      </c>
    </row>
    <row r="12">
      <c r="A12" t="inlineStr">
        <is>
          <t>Open the workbook in Excel to recalculate formulas and inspect highlighted scenario metrics.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Salesforce Opportunities</dc:title>
  <dc:subject>Salesforce revenue validation sample pack</dc:subject>
  <dcterms:created xsi:type="dcterms:W3CDTF">2026-04-17T03:27:49Z</dcterms:created>
  <dcterms:modified xsi:type="dcterms:W3CDTF">2026-04-17T03:27:49Z</dcterms:modified>
</cp:coreProperties>
</file>