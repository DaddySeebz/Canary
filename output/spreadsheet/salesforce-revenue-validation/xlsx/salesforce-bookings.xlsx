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>
    <definedName name="_xlnm._FilterDatabase" localSheetId="0" hidden="1">'Data'!$A$1:$J$10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;[Red]($#,##0.00);-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E2E8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3" fillId="3" borderId="1" pivotButton="0" quotePrefix="0" xfId="0"/>
    <xf numFmtId="0" fontId="0" fillId="4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Salesforce Bookings data prepared for Canary upload and workbook review.</t>
      </text>
    </comment>
    <comment ref="D1" authorId="0" shapeId="0">
      <text>
        <t>Booked ARR sourced from Salesforce contract or CPQ export.</t>
      </text>
    </comment>
    <comment ref="J1" authorId="0" shapeId="0">
      <text>
        <t>Plain-text source URL for each Salesforce record.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8" customWidth="1" min="4" max="4"/>
    <col width="15" customWidth="1" min="5" max="5"/>
    <col width="18" customWidth="1" min="6" max="6"/>
    <col width="22" customWidth="1" min="7" max="7"/>
    <col width="20" customWidth="1" min="8" max="8"/>
    <col width="18" customWidth="1" min="9" max="9"/>
    <col width="34" customWidth="1" min="10" max="10"/>
  </cols>
  <sheetData>
    <row r="1">
      <c r="A1" s="1" t="inlineStr">
        <is>
          <t>booking_id</t>
        </is>
      </c>
      <c r="B1" s="1" t="inlineStr">
        <is>
          <t>opportunity_id</t>
        </is>
      </c>
      <c r="C1" s="1" t="inlineStr">
        <is>
          <t>booking_date</t>
        </is>
      </c>
      <c r="D1" s="1" t="inlineStr">
        <is>
          <t>booked_arr_usd</t>
        </is>
      </c>
      <c r="E1" s="1" t="inlineStr">
        <is>
          <t>term_months</t>
        </is>
      </c>
      <c r="F1" s="1" t="inlineStr">
        <is>
          <t>product_family</t>
        </is>
      </c>
      <c r="G1" s="1" t="inlineStr">
        <is>
          <t>revenue_start_date</t>
        </is>
      </c>
      <c r="H1" s="1" t="inlineStr">
        <is>
          <t>revenue_end_date</t>
        </is>
      </c>
      <c r="I1" s="1" t="inlineStr">
        <is>
          <t>booking_status</t>
        </is>
      </c>
      <c r="J1" s="1" t="inlineStr">
        <is>
          <t>source_url</t>
        </is>
      </c>
    </row>
    <row r="2">
      <c r="A2" t="inlineStr">
        <is>
          <t>BKG-5001</t>
        </is>
      </c>
      <c r="B2" t="inlineStr">
        <is>
          <t>OPP-1001</t>
        </is>
      </c>
      <c r="C2" s="2" t="n">
        <v>46042</v>
      </c>
      <c r="D2" s="3" t="n">
        <v>120000</v>
      </c>
      <c r="E2" t="n">
        <v>12</v>
      </c>
      <c r="F2" t="inlineStr">
        <is>
          <t>Platform</t>
        </is>
      </c>
      <c r="G2" s="2" t="n">
        <v>46054</v>
      </c>
      <c r="H2" s="2" t="n">
        <v>46418</v>
      </c>
      <c r="I2" t="inlineStr">
        <is>
          <t>Booked</t>
        </is>
      </c>
      <c r="J2" t="inlineStr">
        <is>
          <t>https://canary-demo.my.salesforce.com/lightning/r/Contract/BKG-5001/view</t>
        </is>
      </c>
    </row>
    <row r="3">
      <c r="A3" t="inlineStr">
        <is>
          <t>BKG-5002</t>
        </is>
      </c>
      <c r="B3" t="inlineStr">
        <is>
          <t>OPP-1002</t>
        </is>
      </c>
      <c r="C3" s="2" t="n">
        <v>46063</v>
      </c>
      <c r="D3" s="3" t="n">
        <v>84500</v>
      </c>
      <c r="E3" t="n">
        <v>12</v>
      </c>
      <c r="F3" t="inlineStr">
        <is>
          <t>Analytics</t>
        </is>
      </c>
      <c r="G3" s="2" t="n">
        <v>46082</v>
      </c>
      <c r="H3" s="2" t="n">
        <v>46446</v>
      </c>
      <c r="I3" t="inlineStr">
        <is>
          <t>Booked</t>
        </is>
      </c>
      <c r="J3" t="inlineStr">
        <is>
          <t>https://canary-demo.my.salesforce.com/lightning/r/Contract/BKG-5002/view</t>
        </is>
      </c>
    </row>
    <row r="4">
      <c r="A4" t="inlineStr">
        <is>
          <t>BKG-5003</t>
        </is>
      </c>
      <c r="B4" t="inlineStr">
        <is>
          <t>OPP-1003</t>
        </is>
      </c>
      <c r="C4" s="2" t="n">
        <v>46071</v>
      </c>
      <c r="D4" s="3" t="n">
        <v>92000</v>
      </c>
      <c r="E4" t="n">
        <v>12</v>
      </c>
      <c r="F4" t="inlineStr">
        <is>
          <t>Platform</t>
        </is>
      </c>
      <c r="G4" s="2" t="n">
        <v>46082</v>
      </c>
      <c r="H4" s="2" t="n">
        <v>46446</v>
      </c>
      <c r="I4" t="inlineStr">
        <is>
          <t>Booked</t>
        </is>
      </c>
      <c r="J4" t="inlineStr">
        <is>
          <t>https://canary-demo.my.salesforce.com/lightning/r/Contract/BKG-5003/view</t>
        </is>
      </c>
    </row>
    <row r="5">
      <c r="A5" t="inlineStr">
        <is>
          <t>BKG-5004</t>
        </is>
      </c>
      <c r="B5" t="inlineStr">
        <is>
          <t>OPP-1004</t>
        </is>
      </c>
      <c r="C5" s="2" t="n">
        <v>46083</v>
      </c>
      <c r="D5" s="3" t="n">
        <v>50000</v>
      </c>
      <c r="E5" t="n">
        <v>12</v>
      </c>
      <c r="F5" t="inlineStr">
        <is>
          <t>Services</t>
        </is>
      </c>
      <c r="G5" s="2" t="n">
        <v>46096</v>
      </c>
      <c r="H5" s="2" t="n">
        <v>46068</v>
      </c>
      <c r="I5" t="inlineStr">
        <is>
          <t>Booked</t>
        </is>
      </c>
      <c r="J5" t="inlineStr">
        <is>
          <t>https://canary-demo.my.salesforce.com/lightning/r/Contract/BKG-5004/view</t>
        </is>
      </c>
    </row>
    <row r="6">
      <c r="A6" t="inlineStr">
        <is>
          <t>BKG-5005</t>
        </is>
      </c>
      <c r="B6" t="inlineStr">
        <is>
          <t>OPP-1005</t>
        </is>
      </c>
      <c r="C6" s="2" t="n">
        <v>46096</v>
      </c>
      <c r="D6" s="3" t="n">
        <v>64000</v>
      </c>
      <c r="E6" t="n">
        <v>24</v>
      </c>
      <c r="F6" t="inlineStr">
        <is>
          <t>Platform</t>
        </is>
      </c>
      <c r="G6" s="2" t="n">
        <v>46113</v>
      </c>
      <c r="H6" s="2" t="n">
        <v>46843</v>
      </c>
      <c r="I6" t="inlineStr">
        <is>
          <t>Booked</t>
        </is>
      </c>
      <c r="J6" t="inlineStr">
        <is>
          <t>https://canary-demo.my.salesforce.com/lightning/r/Contract/BKG-5005/view</t>
        </is>
      </c>
    </row>
    <row r="7">
      <c r="A7" t="inlineStr">
        <is>
          <t>BKG-5006</t>
        </is>
      </c>
      <c r="B7" t="inlineStr">
        <is>
          <t>OPP-9999</t>
        </is>
      </c>
      <c r="C7" s="2" t="n">
        <v>46098</v>
      </c>
      <c r="D7" s="3" t="n">
        <v>15000</v>
      </c>
      <c r="E7" t="n">
        <v>6</v>
      </c>
      <c r="F7" t="inlineStr">
        <is>
          <t>Support</t>
        </is>
      </c>
      <c r="G7" s="2" t="n">
        <v>46113</v>
      </c>
      <c r="H7" s="2" t="n">
        <v>46295</v>
      </c>
      <c r="I7" t="inlineStr">
        <is>
          <t>Booked</t>
        </is>
      </c>
      <c r="J7" t="inlineStr">
        <is>
          <t>https://canary-demo.my.salesforce.com/lightning/r/Contract/BKG-5006/view</t>
        </is>
      </c>
    </row>
    <row r="8">
      <c r="A8" t="inlineStr">
        <is>
          <t>BKG-5007</t>
        </is>
      </c>
      <c r="B8" t="inlineStr">
        <is>
          <t>OPP-1008</t>
        </is>
      </c>
      <c r="C8" s="2" t="n">
        <v>46101</v>
      </c>
      <c r="D8" s="3" t="n">
        <v>43000</v>
      </c>
      <c r="E8" t="n">
        <v>12</v>
      </c>
      <c r="F8" t="inlineStr">
        <is>
          <t>Analytics</t>
        </is>
      </c>
      <c r="G8" s="2" t="n">
        <v>46113</v>
      </c>
      <c r="H8" s="2" t="n">
        <v>46477</v>
      </c>
      <c r="I8" t="inlineStr">
        <is>
          <t>Pending</t>
        </is>
      </c>
      <c r="J8" t="inlineStr">
        <is>
          <t>https://canary-demo.my.salesforce.com/lightning/r/Contract/BKG-5007/view</t>
        </is>
      </c>
    </row>
    <row r="9">
      <c r="A9" t="inlineStr">
        <is>
          <t>BKG-5008</t>
        </is>
      </c>
      <c r="B9" t="inlineStr">
        <is>
          <t>OPP-1010</t>
        </is>
      </c>
      <c r="C9" s="2" t="n">
        <v>46106</v>
      </c>
      <c r="D9" s="3" t="n">
        <v>76000</v>
      </c>
      <c r="E9" t="n">
        <v>12</v>
      </c>
      <c r="F9" t="inlineStr">
        <is>
          <t>Platform</t>
        </is>
      </c>
      <c r="G9" s="2" t="n">
        <v>46143</v>
      </c>
      <c r="H9" s="2" t="n">
        <v>46142</v>
      </c>
      <c r="I9" t="inlineStr">
        <is>
          <t>Booked</t>
        </is>
      </c>
      <c r="J9" t="inlineStr">
        <is>
          <t>https://canary-demo.my.salesforce.com/lightning/r/Contract/BKG-5008/view</t>
        </is>
      </c>
    </row>
    <row r="10">
      <c r="A10" t="inlineStr">
        <is>
          <t>BKG-5009</t>
        </is>
      </c>
      <c r="B10" t="inlineStr">
        <is>
          <t>OPP-1009</t>
        </is>
      </c>
      <c r="C10" s="2" t="n">
        <v>46110</v>
      </c>
      <c r="D10" s="3" t="n">
        <v>38000</v>
      </c>
      <c r="E10" t="n">
        <v>12</v>
      </c>
      <c r="F10" t="inlineStr">
        <is>
          <t>Platform</t>
        </is>
      </c>
      <c r="G10" s="2" t="n">
        <v>46113</v>
      </c>
      <c r="H10" s="2" t="n">
        <v>46477</v>
      </c>
      <c r="I10" t="inlineStr">
        <is>
          <t>Cancelled</t>
        </is>
      </c>
      <c r="J10" t="inlineStr">
        <is>
          <t>https://canary-demo.my.salesforce.com/lightning/r/Contract/BKG-5009/view</t>
        </is>
      </c>
    </row>
  </sheetData>
  <autoFilter ref="A1:J10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8" customWidth="1" min="2" max="2"/>
  </cols>
  <sheetData>
    <row r="1">
      <c r="A1" s="4" t="inlineStr">
        <is>
          <t>Salesforce Bookings</t>
        </is>
      </c>
    </row>
    <row r="3">
      <c r="A3" s="5" t="inlineStr">
        <is>
          <t>Metric</t>
        </is>
      </c>
      <c r="B3" s="5" t="inlineStr">
        <is>
          <t>Formula</t>
        </is>
      </c>
    </row>
    <row r="4">
      <c r="A4" t="inlineStr">
        <is>
          <t>Total rows</t>
        </is>
      </c>
      <c r="B4" s="6">
        <f>COUNTA(Data!A:A)-1</f>
        <v/>
      </c>
    </row>
    <row r="5">
      <c r="A5" t="inlineStr">
        <is>
          <t>Total booked ARR</t>
        </is>
      </c>
      <c r="B5" s="6">
        <f>SUM(Data!D2:D10)</f>
        <v/>
      </c>
    </row>
    <row r="6">
      <c r="A6" t="inlineStr">
        <is>
          <t>Booked status count</t>
        </is>
      </c>
      <c r="B6" s="6">
        <f>COUNTIF(Data!I2:I10,"Booked")</f>
        <v/>
      </c>
    </row>
    <row r="7">
      <c r="A7" t="inlineStr">
        <is>
          <t>Pending status count</t>
        </is>
      </c>
      <c r="B7" s="6">
        <f>COUNTIF(Data!I2:I10,"Pending")</f>
        <v/>
      </c>
    </row>
    <row r="8">
      <c r="A8" t="inlineStr">
        <is>
          <t>Revenue end before start</t>
        </is>
      </c>
      <c r="B8" s="6">
        <f>SUMPRODUCT(--(Data!H2:H10&lt;Data!G2:G10))</f>
        <v/>
      </c>
    </row>
    <row r="11">
      <c r="A11" s="7" t="inlineStr">
        <is>
          <t>Review notes</t>
        </is>
      </c>
    </row>
    <row r="12">
      <c r="A12" t="inlineStr">
        <is>
          <t>Open the workbook in Excel to recalculate formulas and inspect highlighted scenario metrics.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Salesforce Bookings</dc:title>
  <dc:subject>Salesforce revenue validation sample pack</dc:subject>
  <dcterms:created xsi:type="dcterms:W3CDTF">2026-04-17T03:27:49Z</dcterms:created>
  <dcterms:modified xsi:type="dcterms:W3CDTF">2026-04-17T03:27:49Z</dcterms:modified>
</cp:coreProperties>
</file>